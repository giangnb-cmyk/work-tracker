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Có thể thay đổi theo từng vị trí</t>
      </text>
    </comment>
  </commentList>
</comments>
</file>

<file path=xl/sharedStrings.xml><?xml version="1.0" encoding="utf-8"?>
<sst xmlns="http://schemas.openxmlformats.org/spreadsheetml/2006/main" count="20" uniqueCount="20">
  <si>
    <t>Lương đóng BHXH</t>
  </si>
  <si>
    <t>Phụ cấp ăn trưa</t>
  </si>
  <si>
    <t>Phụ cấp xăng xe</t>
  </si>
  <si>
    <t>Phụ cấp điện thoại</t>
  </si>
  <si>
    <t>Phụ cấp nhà ở</t>
  </si>
  <si>
    <t>Phụ cấp trang phục</t>
  </si>
  <si>
    <t>Thưởng HSCV</t>
  </si>
  <si>
    <t>TN miễn thuế TNCN</t>
  </si>
  <si>
    <t>BHXH NLĐ chịu</t>
  </si>
  <si>
    <t>TN tính thuế TNCN dự kiến</t>
  </si>
  <si>
    <t>Thuế TNCN</t>
  </si>
  <si>
    <t>Thực lĩnh của NLĐ theo HĐLĐ</t>
  </si>
  <si>
    <t>BHXH Cty đóng</t>
  </si>
  <si>
    <t>Grade 1</t>
  </si>
  <si>
    <t>Grade 2</t>
  </si>
  <si>
    <t>Grade 3</t>
  </si>
  <si>
    <t>Grade 4</t>
  </si>
  <si>
    <t>Grade 5</t>
  </si>
  <si>
    <t>Trưởng nhóm/ trưởng dự án</t>
  </si>
  <si>
    <t>Level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</si>
</sst>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1" numFmtId="164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1" fillId="3" fontId="1" numFmtId="164" xfId="0" applyAlignment="1" applyBorder="1" applyFont="1" applyNumberFormat="1">
      <alignment vertical="bottom"/>
    </xf>
    <xf borderId="1" fillId="3" fontId="1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/>
      <c r="J1" s="3" t="s">
        <v>7</v>
      </c>
      <c r="K1" s="3" t="s">
        <v>8</v>
      </c>
      <c r="L1" s="3" t="s">
        <v>9</v>
      </c>
      <c r="M1" s="3" t="s">
        <v>10</v>
      </c>
      <c r="N1" s="2" t="s">
        <v>11</v>
      </c>
      <c r="O1" s="3" t="s">
        <v>12</v>
      </c>
    </row>
    <row r="2">
      <c r="A2" s="6" t="s">
        <v>13</v>
      </c>
      <c r="B2" s="7">
        <v>5400000.0</v>
      </c>
      <c r="C2" s="8">
        <v>600000.0</v>
      </c>
      <c r="D2" s="9"/>
      <c r="E2" s="9"/>
      <c r="F2" s="9"/>
      <c r="G2" s="9"/>
      <c r="H2" s="10"/>
      <c r="I2" s="7">
        <f t="shared" ref="I2:I8" si="1">SUM(B2:H2)</f>
        <v>6000000</v>
      </c>
      <c r="J2" s="8">
        <f t="shared" ref="J2:J8" si="2">C2+E2+G2</f>
        <v>600000</v>
      </c>
      <c r="K2" s="8">
        <f t="shared" ref="K2:K8" si="3">B2*10.5%</f>
        <v>567000</v>
      </c>
      <c r="L2" s="8">
        <f t="shared" ref="L2:L8" si="4">if(I2-J2-K2-15500000&gt;0,I2-J2-K2-15500000,0)</f>
        <v>0</v>
      </c>
      <c r="M2" s="8">
        <f t="shared" ref="M2:M8" si="5">if(L2&lt;=0,0,IF(L2&lt;=5000000,L2*5%,if(L2&lt;=10000000,L2*10%-250000,if(L2&lt;=18000000,L2*15%-750000,if(L2&lt;=32000000,L2*20%-1650000,if(L2&lt;=52000000,L2*25%-3250000,if(L2&lt;=80000000,L2*30%-5850000,L2*35%-9850000)))))))</f>
        <v>0</v>
      </c>
      <c r="N2" s="7">
        <f t="shared" ref="N2:N8" si="6">I2-K2-M2</f>
        <v>5433000</v>
      </c>
      <c r="O2" s="8">
        <f t="shared" ref="O2:O8" si="7">B2*21.5%</f>
        <v>1161000</v>
      </c>
    </row>
    <row r="3">
      <c r="A3" s="6" t="s">
        <v>14</v>
      </c>
      <c r="B3" s="7">
        <v>6000000.0</v>
      </c>
      <c r="C3" s="8">
        <v>1000000.0</v>
      </c>
      <c r="D3" s="8">
        <v>500000.0</v>
      </c>
      <c r="E3" s="8">
        <v>500000.0</v>
      </c>
      <c r="F3" s="8">
        <v>2000000.0</v>
      </c>
      <c r="G3" s="9"/>
      <c r="H3" s="11">
        <v>2000000.0</v>
      </c>
      <c r="I3" s="7">
        <f t="shared" si="1"/>
        <v>12000000</v>
      </c>
      <c r="J3" s="8">
        <f t="shared" si="2"/>
        <v>1500000</v>
      </c>
      <c r="K3" s="8">
        <f t="shared" si="3"/>
        <v>630000</v>
      </c>
      <c r="L3" s="8">
        <f t="shared" si="4"/>
        <v>0</v>
      </c>
      <c r="M3" s="8">
        <f t="shared" si="5"/>
        <v>0</v>
      </c>
      <c r="N3" s="7">
        <f t="shared" si="6"/>
        <v>11370000</v>
      </c>
      <c r="O3" s="8">
        <f t="shared" si="7"/>
        <v>1290000</v>
      </c>
    </row>
    <row r="4">
      <c r="A4" s="6" t="s">
        <v>15</v>
      </c>
      <c r="B4" s="7">
        <v>7000000.0</v>
      </c>
      <c r="C4" s="8">
        <v>1000000.0</v>
      </c>
      <c r="D4" s="8">
        <v>500000.0</v>
      </c>
      <c r="E4" s="8">
        <v>500000.0</v>
      </c>
      <c r="F4" s="8">
        <v>2000000.0</v>
      </c>
      <c r="G4" s="9"/>
      <c r="H4" s="11">
        <v>4000000.0</v>
      </c>
      <c r="I4" s="7">
        <f t="shared" si="1"/>
        <v>15000000</v>
      </c>
      <c r="J4" s="8">
        <f t="shared" si="2"/>
        <v>1500000</v>
      </c>
      <c r="K4" s="8">
        <f t="shared" si="3"/>
        <v>735000</v>
      </c>
      <c r="L4" s="8">
        <f t="shared" si="4"/>
        <v>0</v>
      </c>
      <c r="M4" s="8">
        <f t="shared" si="5"/>
        <v>0</v>
      </c>
      <c r="N4" s="7">
        <f t="shared" si="6"/>
        <v>14265000</v>
      </c>
      <c r="O4" s="8">
        <f t="shared" si="7"/>
        <v>1505000</v>
      </c>
    </row>
    <row r="5">
      <c r="A5" s="6" t="s">
        <v>16</v>
      </c>
      <c r="B5" s="7">
        <v>8500000.0</v>
      </c>
      <c r="C5" s="8">
        <v>1000000.0</v>
      </c>
      <c r="D5" s="8">
        <v>500000.0</v>
      </c>
      <c r="E5" s="8">
        <v>1000000.0</v>
      </c>
      <c r="F5" s="8">
        <v>3000000.0</v>
      </c>
      <c r="G5" s="9"/>
      <c r="H5" s="11">
        <v>5000000.0</v>
      </c>
      <c r="I5" s="7">
        <f t="shared" si="1"/>
        <v>19000000</v>
      </c>
      <c r="J5" s="8">
        <f t="shared" si="2"/>
        <v>2000000</v>
      </c>
      <c r="K5" s="8">
        <f t="shared" si="3"/>
        <v>892500</v>
      </c>
      <c r="L5" s="8">
        <f t="shared" si="4"/>
        <v>607500</v>
      </c>
      <c r="M5" s="8">
        <f t="shared" si="5"/>
        <v>30375</v>
      </c>
      <c r="N5" s="7">
        <f t="shared" si="6"/>
        <v>18077125</v>
      </c>
      <c r="O5" s="8">
        <f t="shared" si="7"/>
        <v>1827500</v>
      </c>
    </row>
    <row r="6">
      <c r="A6" s="6" t="s">
        <v>17</v>
      </c>
      <c r="B6" s="7">
        <v>1.0E7</v>
      </c>
      <c r="C6" s="8">
        <v>1000000.0</v>
      </c>
      <c r="D6" s="8">
        <v>1000000.0</v>
      </c>
      <c r="E6" s="8">
        <v>1000000.0</v>
      </c>
      <c r="F6" s="8">
        <v>3000000.0</v>
      </c>
      <c r="G6" s="9"/>
      <c r="H6" s="11">
        <v>7000000.0</v>
      </c>
      <c r="I6" s="7">
        <f t="shared" si="1"/>
        <v>23000000</v>
      </c>
      <c r="J6" s="8">
        <f t="shared" si="2"/>
        <v>2000000</v>
      </c>
      <c r="K6" s="8">
        <f t="shared" si="3"/>
        <v>1050000</v>
      </c>
      <c r="L6" s="8">
        <f t="shared" si="4"/>
        <v>4450000</v>
      </c>
      <c r="M6" s="8">
        <f t="shared" si="5"/>
        <v>222500</v>
      </c>
      <c r="N6" s="7">
        <f t="shared" si="6"/>
        <v>21727500</v>
      </c>
      <c r="O6" s="8">
        <f t="shared" si="7"/>
        <v>2150000</v>
      </c>
    </row>
    <row r="7">
      <c r="A7" s="6" t="s">
        <v>18</v>
      </c>
      <c r="B7" s="7">
        <v>1.1E7</v>
      </c>
      <c r="C7" s="8">
        <v>1000000.0</v>
      </c>
      <c r="D7" s="8">
        <v>1000000.0</v>
      </c>
      <c r="E7" s="8">
        <v>1000000.0</v>
      </c>
      <c r="F7" s="8">
        <v>3000000.0</v>
      </c>
      <c r="G7" s="9"/>
      <c r="H7" s="11">
        <v>8000000.0</v>
      </c>
      <c r="I7" s="7">
        <f t="shared" si="1"/>
        <v>25000000</v>
      </c>
      <c r="J7" s="8">
        <f t="shared" si="2"/>
        <v>2000000</v>
      </c>
      <c r="K7" s="8">
        <f t="shared" si="3"/>
        <v>1155000</v>
      </c>
      <c r="L7" s="8">
        <f t="shared" si="4"/>
        <v>6345000</v>
      </c>
      <c r="M7" s="8">
        <f t="shared" si="5"/>
        <v>384500</v>
      </c>
      <c r="N7" s="7">
        <f t="shared" si="6"/>
        <v>23460500</v>
      </c>
      <c r="O7" s="8">
        <f t="shared" si="7"/>
        <v>2365000</v>
      </c>
    </row>
    <row r="8">
      <c r="A8" s="6" t="s">
        <v>19</v>
      </c>
      <c r="B8" s="7">
        <v>1.5E7</v>
      </c>
      <c r="C8" s="8">
        <v>1000000.0</v>
      </c>
      <c r="D8" s="8">
        <v>1000000.0</v>
      </c>
      <c r="E8" s="8">
        <v>1000000.0</v>
      </c>
      <c r="F8" s="8">
        <v>4000000.0</v>
      </c>
      <c r="G8" s="9"/>
      <c r="H8" s="11">
        <v>1.0E7</v>
      </c>
      <c r="I8" s="7">
        <f t="shared" si="1"/>
        <v>32000000</v>
      </c>
      <c r="J8" s="8">
        <f t="shared" si="2"/>
        <v>2000000</v>
      </c>
      <c r="K8" s="8">
        <f t="shared" si="3"/>
        <v>1575000</v>
      </c>
      <c r="L8" s="8">
        <f t="shared" si="4"/>
        <v>12925000</v>
      </c>
      <c r="M8" s="8">
        <f t="shared" si="5"/>
        <v>1188750</v>
      </c>
      <c r="N8" s="7">
        <f t="shared" si="6"/>
        <v>29236250</v>
      </c>
      <c r="O8" s="8">
        <f t="shared" si="7"/>
        <v>3225000</v>
      </c>
    </row>
  </sheetData>
  <drawing r:id="rId2"/>
  <legacyDrawing r:id="rId3"/>
</worksheet>
</file>